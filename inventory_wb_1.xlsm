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7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nzovillafuerte/Desktop/Python_Projects/Inventory Automation/"/>
    </mc:Choice>
  </mc:AlternateContent>
  <xr:revisionPtr revIDLastSave="0" documentId="13_ncr:1_{C6505460-05C8-FE40-A237-52ACEC6695E6}" xr6:coauthVersionLast="47" xr6:coauthVersionMax="47" xr10:uidLastSave="{00000000-0000-0000-0000-000000000000}"/>
  <bookViews>
    <workbookView xWindow="1840" yWindow="780" windowWidth="23720" windowHeight="15720" xr2:uid="{9C4F0092-4320-0E4C-9055-16A129FCC9CA}"/>
  </bookViews>
  <sheets>
    <sheet name="Inventory_Updated" sheetId="4" r:id="rId1"/>
    <sheet name="inventory_1" sheetId="1" r:id="rId2"/>
    <sheet name="Sheet3" sheetId="3" r:id="rId3"/>
    <sheet name="invoice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4" l="1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2" i="4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2" i="1"/>
</calcChain>
</file>

<file path=xl/sharedStrings.xml><?xml version="1.0" encoding="utf-8"?>
<sst xmlns="http://schemas.openxmlformats.org/spreadsheetml/2006/main" count="493" uniqueCount="148">
  <si>
    <t>product_id</t>
  </si>
  <si>
    <t>Description</t>
  </si>
  <si>
    <t>Product</t>
  </si>
  <si>
    <t>Brand</t>
  </si>
  <si>
    <t>Category</t>
  </si>
  <si>
    <t>Storage</t>
  </si>
  <si>
    <t>Packages</t>
  </si>
  <si>
    <t>Size</t>
  </si>
  <si>
    <t>Total Units</t>
  </si>
  <si>
    <t>KENS +MAYO XHVY TFF GF</t>
  </si>
  <si>
    <t>Mayonneise</t>
  </si>
  <si>
    <t>KENS</t>
  </si>
  <si>
    <t>Dressing</t>
  </si>
  <si>
    <t>Dry</t>
  </si>
  <si>
    <t>1 GA</t>
  </si>
  <si>
    <t>VEGALENE PAN COATING VEG BLND AERO</t>
  </si>
  <si>
    <t>Pan Coating</t>
  </si>
  <si>
    <t>VEGALENE</t>
  </si>
  <si>
    <t>Naan</t>
  </si>
  <si>
    <t>14 oz</t>
  </si>
  <si>
    <t>SMUCKERS JAM STRWBRRY CUP TFF GF</t>
  </si>
  <si>
    <t>Strawberry Jelly</t>
  </si>
  <si>
    <t>SMUCKERS</t>
  </si>
  <si>
    <t>Condiment</t>
  </si>
  <si>
    <t>0.5 oz</t>
  </si>
  <si>
    <t>BARILLA PASTA ZITI TFF</t>
  </si>
  <si>
    <t>Pasta Ziti</t>
  </si>
  <si>
    <t>BARILLA</t>
  </si>
  <si>
    <t>Pasta</t>
  </si>
  <si>
    <t>10 LB</t>
  </si>
  <si>
    <t>BARILLA PASTA PENNE RIGATE TFF</t>
  </si>
  <si>
    <t>Pasta Penne</t>
  </si>
  <si>
    <t>10 lb</t>
  </si>
  <si>
    <t>FRANK HT SAUCE RED HOT CAYENNE PEPPER</t>
  </si>
  <si>
    <t>Sauce Red Hot</t>
  </si>
  <si>
    <t>FRANK HT</t>
  </si>
  <si>
    <t>Sauce</t>
  </si>
  <si>
    <t>12 oz</t>
  </si>
  <si>
    <t>M&amp;MS CANDY M&amp;MS PLN CHOC TFF</t>
  </si>
  <si>
    <t>M&amp;Ms Candy</t>
  </si>
  <si>
    <t>M&amp;MS</t>
  </si>
  <si>
    <t>Candy</t>
  </si>
  <si>
    <t>25 lb</t>
  </si>
  <si>
    <t>GEN MILL CEREAL TRIX BULK TFF</t>
  </si>
  <si>
    <t>Cereal Trix Bulk</t>
  </si>
  <si>
    <t>GENERAL MILLS</t>
  </si>
  <si>
    <t>Cereal</t>
  </si>
  <si>
    <t>32 oz</t>
  </si>
  <si>
    <t>GEN MILL CEREAL CHEERIOS BULK TFF</t>
  </si>
  <si>
    <t>Cereal Cheerios</t>
  </si>
  <si>
    <t>29 oz</t>
  </si>
  <si>
    <t>STARKIST TUNA CHNK LITE POUCH</t>
  </si>
  <si>
    <t>Tuna</t>
  </si>
  <si>
    <t>STARKIST</t>
  </si>
  <si>
    <t>43 oz</t>
  </si>
  <si>
    <t>BARILLA PASTA SPAGHETTI #5 TFF</t>
  </si>
  <si>
    <t>Pasta Spaghetti</t>
  </si>
  <si>
    <t>DOMINO SUGAR PACKET 1/8 OZ BLUE</t>
  </si>
  <si>
    <t>Sugar Packet</t>
  </si>
  <si>
    <t>DOMINO</t>
  </si>
  <si>
    <t>3.5 gm</t>
  </si>
  <si>
    <t>KELLOGGS CEREAL RAISIN BRAN BULK TFF</t>
  </si>
  <si>
    <t>Cereal Raisin</t>
  </si>
  <si>
    <t>KELLOGGS</t>
  </si>
  <si>
    <t>56 oz</t>
  </si>
  <si>
    <t>SMUCKERS+ JELLY GRAPE CUP TFF GF</t>
  </si>
  <si>
    <t>Grape Jelly</t>
  </si>
  <si>
    <t>ANG MIA SAUCE MARINARA TFF</t>
  </si>
  <si>
    <t>Marinara Sauce</t>
  </si>
  <si>
    <t>ANG MIA</t>
  </si>
  <si>
    <t>#10 CN</t>
  </si>
  <si>
    <t>GEN MILL CEREAL CINNAMON TOAST CRNCH</t>
  </si>
  <si>
    <t>Cereal Cinnamon Toast</t>
  </si>
  <si>
    <t>45 oz</t>
  </si>
  <si>
    <t>GEN MILL%CEREAL COCOA PUFF BULK TFF</t>
  </si>
  <si>
    <t>Cereal Cocoa Puff</t>
  </si>
  <si>
    <t>35 oz</t>
  </si>
  <si>
    <t>MISSION CHIP TORTILLA YLW 4 CUT TFF</t>
  </si>
  <si>
    <t>Chip Tortillas</t>
  </si>
  <si>
    <t>MISSION</t>
  </si>
  <si>
    <t>Chips</t>
  </si>
  <si>
    <t>2 lb</t>
  </si>
  <si>
    <t>KELLOGGS CEREAL RICE KRISPIES BULK PAC</t>
  </si>
  <si>
    <t>Cereal Rice Krispies</t>
  </si>
  <si>
    <t>27 oz</t>
  </si>
  <si>
    <t>WSTMNSTR+CRACKER OYSTER PACKET .5 OZ</t>
  </si>
  <si>
    <t>Oyster Packet</t>
  </si>
  <si>
    <t>WSTMNSTR</t>
  </si>
  <si>
    <t>150 ct</t>
  </si>
  <si>
    <t>SLVR SRC PEAR DICED L/S</t>
  </si>
  <si>
    <t>Diced Pears</t>
  </si>
  <si>
    <t>SILVER</t>
  </si>
  <si>
    <t>Fruit</t>
  </si>
  <si>
    <t>CONTIGO TORTILLA FLOUR 6 IN</t>
  </si>
  <si>
    <t>Tortilla Flour</t>
  </si>
  <si>
    <t>CONTIGO</t>
  </si>
  <si>
    <t>Bread</t>
  </si>
  <si>
    <t>24 ct</t>
  </si>
  <si>
    <t>HUY FONG SAUCE SRIRACHA HOT CHILI PACK</t>
  </si>
  <si>
    <t>Sriracha</t>
  </si>
  <si>
    <t>HUY FONG</t>
  </si>
  <si>
    <t>7 gm</t>
  </si>
  <si>
    <t>HERSHEYS SYRUP CHOC SMPLY 5 BOTTLE</t>
  </si>
  <si>
    <t>Hersheys Syrup</t>
  </si>
  <si>
    <t>HERSHEYS</t>
  </si>
  <si>
    <t>21.80 oz</t>
  </si>
  <si>
    <t>CONTIGO +BEAN BLK</t>
  </si>
  <si>
    <t>Black Beans</t>
  </si>
  <si>
    <t>Veggies</t>
  </si>
  <si>
    <t>HEINZ KETCHUP SQUEEZE RED UPSIDE DN</t>
  </si>
  <si>
    <t>Ketchup</t>
  </si>
  <si>
    <t>HEINZ</t>
  </si>
  <si>
    <t>20 oz</t>
  </si>
  <si>
    <t>OREO TOPPING COOKIE CRUMB MED TFF</t>
  </si>
  <si>
    <t>Oreo Topping Cookie</t>
  </si>
  <si>
    <t>OREO</t>
  </si>
  <si>
    <t>2.5 lbs</t>
  </si>
  <si>
    <t>WEST CRK BEAN GARBANZO</t>
  </si>
  <si>
    <t>Garbanzo Beans</t>
  </si>
  <si>
    <t>WEST CRK</t>
  </si>
  <si>
    <t>WEST CRK BEET PICKLED SLCD</t>
  </si>
  <si>
    <t>Pickled Beets</t>
  </si>
  <si>
    <t>DMND CRY DRINK MIX PINK LEMONADE</t>
  </si>
  <si>
    <t>Pink Lemonade</t>
  </si>
  <si>
    <t>DMND</t>
  </si>
  <si>
    <t>Lemonade</t>
  </si>
  <si>
    <t>18 oz</t>
  </si>
  <si>
    <t>LIBBYS V? BEET MED SLCD</t>
  </si>
  <si>
    <t>Sliced Beets</t>
  </si>
  <si>
    <t>LIBBYS</t>
  </si>
  <si>
    <t>JB MARSH COFFEE BRKFST BLND</t>
  </si>
  <si>
    <t>Coffee</t>
  </si>
  <si>
    <t>JB MARSH</t>
  </si>
  <si>
    <t>2.250 oz</t>
  </si>
  <si>
    <t>CSCDNFRM CEREAL GRANOLA ORGANIC BULK</t>
  </si>
  <si>
    <t>Cereal Granola</t>
  </si>
  <si>
    <t>CSCDNFRM</t>
  </si>
  <si>
    <t>44 oz</t>
  </si>
  <si>
    <t>Individual Units</t>
  </si>
  <si>
    <t>Units per Pack</t>
  </si>
  <si>
    <t>Item No.</t>
  </si>
  <si>
    <t>Ordered</t>
  </si>
  <si>
    <t>Shipped</t>
  </si>
  <si>
    <t>Pack</t>
  </si>
  <si>
    <t>Unit</t>
  </si>
  <si>
    <t>Price</t>
  </si>
  <si>
    <t>Extension</t>
  </si>
  <si>
    <t>Canned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</si>
</sst>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Calibri"/>
      <family val="2"/>
      <scheme val="minor"/>
    </font>
    <font>
      <sz val="11"/>
      <color theme="1"/>
      <name val="Helvetice Nueu"/>
    </font>
    <font>
      <b/>
      <sz val="11"/>
      <color theme="1"/>
      <name val="Helvetice Nueu"/>
    </font>
    <font>
      <b/>
      <sz val="11"/>
      <color theme="2"/>
      <name val="Helvetice Nueu"/>
    </font>
    <font>
      <b/>
      <sz val="11"/>
      <color rgb="FFC00000"/>
      <name val="Helvetice Nueu"/>
    </font>
  </fonts>
  <fills count="9">
    <fill>
      <patternFill patternType="none"/>
    </fill>
    <fill>
      <patternFill patternType="gray125"/>
    </fill>
    <fill>
      <patternFill patternType="solid">
        <fgColor rgb="FF5C6468"/>
        <bgColor indexed="64"/>
      </patternFill>
    </fill>
    <fill>
      <patternFill patternType="solid">
        <fgColor rgb="FFA5B9CD"/>
        <bgColor indexed="64"/>
      </patternFill>
    </fill>
    <fill>
      <patternFill patternType="solid">
        <fgColor rgb="FF69A2B2"/>
        <bgColor indexed="64"/>
      </patternFill>
    </fill>
    <fill>
      <patternFill patternType="solid">
        <fgColor rgb="FFD1ACA1"/>
        <bgColor indexed="64"/>
      </patternFill>
    </fill>
    <fill>
      <patternFill patternType="solid">
        <fgColor rgb="FF2C8CFC"/>
        <bgColor indexed="64"/>
      </patternFill>
    </fill>
    <fill>
      <patternFill patternType="solid">
        <fgColor rgb="FFEAF2F9"/>
        <bgColor indexed="64"/>
      </patternFill>
    </fill>
    <fill>
      <patternFill patternType="solid">
        <fgColor rgb="FFC0C0CA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4" fillId="5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0" fontId="1" fillId="4" borderId="1" xfId="0" applyFont="1" applyFill="1" applyBorder="1"/>
    <xf numFmtId="0" fontId="1" fillId="4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1" fillId="8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9A2B2"/>
      <color rgb="FFA5B9CD"/>
      <color rgb="FF2C8CFC"/>
      <color rgb="FFD1ACA1"/>
      <color rgb="FF5C646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382D6-7850-E548-BF41-729054E7F64E}">
  <dimension ref="A1:K34"/>
  <sheetViews>
    <sheetView tabSelected="1" workbookViewId="0">
      <selection activeCell="E8" sqref="E8"/>
    </sheetView>
  </sheetViews>
  <sheetFormatPr baseColWidth="10" defaultRowHeight="16"/>
  <cols>
    <col min="2" max="2" width="43.5" bestFit="1" customWidth="1"/>
    <col min="3" max="3" width="19.33203125" bestFit="1" customWidth="1"/>
    <col min="4" max="4" width="16" bestFit="1" customWidth="1"/>
    <col min="5" max="5" width="9.6640625" bestFit="1" customWidth="1"/>
    <col min="6" max="6" width="8" bestFit="1" customWidth="1"/>
    <col min="7" max="7" width="9.5" bestFit="1" customWidth="1"/>
    <col min="8" max="8" width="13.83203125" bestFit="1" customWidth="1"/>
    <col min="9" max="9" width="8" bestFit="1" customWidth="1"/>
    <col min="10" max="10" width="15" bestFit="1" customWidth="1"/>
    <col min="11" max="11" width="20.33203125" customWidth="1"/>
  </cols>
  <sheetData>
    <row r="1" spans="1:11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139</v>
      </c>
      <c r="I1" s="12" t="s">
        <v>7</v>
      </c>
      <c r="J1" s="12" t="s">
        <v>138</v>
      </c>
      <c r="K1" s="12" t="s">
        <v>8</v>
      </c>
    </row>
    <row r="2" spans="1:11">
      <c r="A2" s="8">
        <v>898</v>
      </c>
      <c r="B2" s="10" t="s">
        <v>9</v>
      </c>
      <c r="C2" s="9" t="s">
        <v>10</v>
      </c>
      <c r="D2" s="10" t="s">
        <v>11</v>
      </c>
      <c r="E2" s="9" t="s">
        <v>12</v>
      </c>
      <c r="F2" s="11" t="s">
        <v>13</v>
      </c>
      <c r="G2" s="6">
        <v>3</v>
      </c>
      <c r="H2" s="11">
        <v>4</v>
      </c>
      <c r="I2" s="8" t="s">
        <v>14</v>
      </c>
      <c r="J2" s="6">
        <v>2</v>
      </c>
      <c r="K2" s="7">
        <f>G2*H2+J2</f>
        <v>14</v>
      </c>
    </row>
    <row r="3" spans="1:11">
      <c r="A3" s="8">
        <v>3113</v>
      </c>
      <c r="B3" s="10" t="s">
        <v>15</v>
      </c>
      <c r="C3" s="9" t="s">
        <v>16</v>
      </c>
      <c r="D3" s="10" t="s">
        <v>17</v>
      </c>
      <c r="E3" s="9" t="s">
        <v>18</v>
      </c>
      <c r="F3" s="11" t="s">
        <v>13</v>
      </c>
      <c r="G3" s="6">
        <v>2</v>
      </c>
      <c r="H3" s="11">
        <v>6</v>
      </c>
      <c r="I3" s="8" t="s">
        <v>19</v>
      </c>
      <c r="J3" s="6">
        <v>4</v>
      </c>
      <c r="K3" s="7">
        <f t="shared" ref="K3:K34" si="0">G3*H3+J3</f>
        <v>16</v>
      </c>
    </row>
    <row r="4" spans="1:11">
      <c r="A4" s="8">
        <v>27182</v>
      </c>
      <c r="B4" s="10" t="s">
        <v>20</v>
      </c>
      <c r="C4" s="9" t="s">
        <v>21</v>
      </c>
      <c r="D4" s="10" t="s">
        <v>22</v>
      </c>
      <c r="E4" s="9" t="s">
        <v>23</v>
      </c>
      <c r="F4" s="11" t="s">
        <v>13</v>
      </c>
      <c r="G4" s="6">
        <v>10</v>
      </c>
      <c r="H4" s="11">
        <v>200</v>
      </c>
      <c r="I4" s="8" t="s">
        <v>24</v>
      </c>
      <c r="J4" s="6">
        <v>100</v>
      </c>
      <c r="K4" s="7">
        <f t="shared" si="0"/>
        <v>2100</v>
      </c>
    </row>
    <row r="5" spans="1:11">
      <c r="A5" s="8">
        <v>28051</v>
      </c>
      <c r="B5" s="10" t="s">
        <v>25</v>
      </c>
      <c r="C5" s="9" t="s">
        <v>26</v>
      </c>
      <c r="D5" s="10" t="s">
        <v>27</v>
      </c>
      <c r="E5" s="9" t="s">
        <v>28</v>
      </c>
      <c r="F5" s="11" t="s">
        <v>13</v>
      </c>
      <c r="G5" s="6">
        <v>6</v>
      </c>
      <c r="H5" s="11">
        <v>2</v>
      </c>
      <c r="I5" s="8" t="s">
        <v>29</v>
      </c>
      <c r="J5" s="6">
        <v>1</v>
      </c>
      <c r="K5" s="7">
        <f t="shared" si="0"/>
        <v>13</v>
      </c>
    </row>
    <row r="6" spans="1:11">
      <c r="A6" s="8">
        <v>28059</v>
      </c>
      <c r="B6" s="10" t="s">
        <v>30</v>
      </c>
      <c r="C6" s="9" t="s">
        <v>31</v>
      </c>
      <c r="D6" s="10" t="s">
        <v>27</v>
      </c>
      <c r="E6" s="9" t="s">
        <v>28</v>
      </c>
      <c r="F6" s="11" t="s">
        <v>13</v>
      </c>
      <c r="G6" s="6">
        <v>11</v>
      </c>
      <c r="H6" s="11">
        <v>2</v>
      </c>
      <c r="I6" s="8" t="s">
        <v>32</v>
      </c>
      <c r="J6" s="6">
        <v>1</v>
      </c>
      <c r="K6" s="7">
        <f t="shared" si="0"/>
        <v>23</v>
      </c>
    </row>
    <row r="7" spans="1:11">
      <c r="A7" s="8">
        <v>28357</v>
      </c>
      <c r="B7" s="10" t="s">
        <v>33</v>
      </c>
      <c r="C7" s="9" t="s">
        <v>34</v>
      </c>
      <c r="D7" s="10" t="s">
        <v>35</v>
      </c>
      <c r="E7" s="9" t="s">
        <v>12</v>
      </c>
      <c r="F7" s="11" t="s">
        <v>13</v>
      </c>
      <c r="G7" s="6">
        <v>2</v>
      </c>
      <c r="H7" s="11">
        <v>12</v>
      </c>
      <c r="I7" s="8" t="s">
        <v>37</v>
      </c>
      <c r="J7" s="6">
        <v>3</v>
      </c>
      <c r="K7" s="7">
        <f t="shared" si="0"/>
        <v>27</v>
      </c>
    </row>
    <row r="8" spans="1:11">
      <c r="A8" s="8">
        <v>28472</v>
      </c>
      <c r="B8" s="10" t="s">
        <v>38</v>
      </c>
      <c r="C8" s="9" t="s">
        <v>39</v>
      </c>
      <c r="D8" s="10" t="s">
        <v>40</v>
      </c>
      <c r="E8" s="9" t="s">
        <v>41</v>
      </c>
      <c r="F8" s="11" t="s">
        <v>13</v>
      </c>
      <c r="G8" s="6">
        <v>4</v>
      </c>
      <c r="H8" s="11">
        <v>1</v>
      </c>
      <c r="I8" s="8" t="s">
        <v>42</v>
      </c>
      <c r="J8" s="6">
        <v>0</v>
      </c>
      <c r="K8" s="7">
        <f t="shared" si="0"/>
        <v>4</v>
      </c>
    </row>
    <row r="9" spans="1:11">
      <c r="A9" s="8">
        <v>28603</v>
      </c>
      <c r="B9" s="10" t="s">
        <v>43</v>
      </c>
      <c r="C9" s="9" t="s">
        <v>44</v>
      </c>
      <c r="D9" s="10" t="s">
        <v>45</v>
      </c>
      <c r="E9" s="9" t="s">
        <v>46</v>
      </c>
      <c r="F9" s="11" t="s">
        <v>13</v>
      </c>
      <c r="G9" s="6">
        <v>7</v>
      </c>
      <c r="H9" s="11">
        <v>4</v>
      </c>
      <c r="I9" s="8" t="s">
        <v>47</v>
      </c>
      <c r="J9" s="6">
        <v>3</v>
      </c>
      <c r="K9" s="7">
        <f t="shared" si="0"/>
        <v>31</v>
      </c>
    </row>
    <row r="10" spans="1:11">
      <c r="A10" s="8">
        <v>28699</v>
      </c>
      <c r="B10" s="10" t="s">
        <v>48</v>
      </c>
      <c r="C10" s="9" t="s">
        <v>49</v>
      </c>
      <c r="D10" s="10" t="s">
        <v>45</v>
      </c>
      <c r="E10" s="9" t="s">
        <v>46</v>
      </c>
      <c r="F10" s="11" t="s">
        <v>13</v>
      </c>
      <c r="G10" s="6">
        <v>7</v>
      </c>
      <c r="H10" s="11">
        <v>4</v>
      </c>
      <c r="I10" s="8" t="s">
        <v>50</v>
      </c>
      <c r="J10" s="6">
        <v>0</v>
      </c>
      <c r="K10" s="7">
        <f t="shared" si="0"/>
        <v>28</v>
      </c>
    </row>
    <row r="11" spans="1:11">
      <c r="A11" s="8">
        <v>30621</v>
      </c>
      <c r="B11" s="10" t="s">
        <v>51</v>
      </c>
      <c r="C11" s="9" t="s">
        <v>52</v>
      </c>
      <c r="D11" s="10" t="s">
        <v>53</v>
      </c>
      <c r="E11" s="9" t="s">
        <v>52</v>
      </c>
      <c r="F11" s="11" t="s">
        <v>13</v>
      </c>
      <c r="G11" s="6">
        <v>11</v>
      </c>
      <c r="H11" s="11">
        <v>6</v>
      </c>
      <c r="I11" s="8" t="s">
        <v>54</v>
      </c>
      <c r="J11" s="6">
        <v>3</v>
      </c>
      <c r="K11" s="7">
        <f t="shared" si="0"/>
        <v>69</v>
      </c>
    </row>
    <row r="12" spans="1:11">
      <c r="A12" s="8">
        <v>31426</v>
      </c>
      <c r="B12" s="10" t="s">
        <v>55</v>
      </c>
      <c r="C12" s="9" t="s">
        <v>56</v>
      </c>
      <c r="D12" s="10" t="s">
        <v>27</v>
      </c>
      <c r="E12" s="9" t="s">
        <v>28</v>
      </c>
      <c r="F12" s="11" t="s">
        <v>13</v>
      </c>
      <c r="G12" s="6">
        <v>4</v>
      </c>
      <c r="H12" s="11">
        <v>2</v>
      </c>
      <c r="I12" s="8" t="s">
        <v>32</v>
      </c>
      <c r="J12" s="6">
        <v>0</v>
      </c>
      <c r="K12" s="7">
        <f t="shared" si="0"/>
        <v>8</v>
      </c>
    </row>
    <row r="13" spans="1:11">
      <c r="A13" s="8">
        <v>34518</v>
      </c>
      <c r="B13" s="10" t="s">
        <v>57</v>
      </c>
      <c r="C13" s="9" t="s">
        <v>58</v>
      </c>
      <c r="D13" s="10" t="s">
        <v>59</v>
      </c>
      <c r="E13" s="9" t="s">
        <v>23</v>
      </c>
      <c r="F13" s="11" t="s">
        <v>13</v>
      </c>
      <c r="G13" s="6">
        <v>2</v>
      </c>
      <c r="H13" s="11">
        <v>2000</v>
      </c>
      <c r="I13" s="8" t="s">
        <v>60</v>
      </c>
      <c r="J13" s="6">
        <v>600</v>
      </c>
      <c r="K13" s="7">
        <f t="shared" si="0"/>
        <v>4600</v>
      </c>
    </row>
    <row r="14" spans="1:11">
      <c r="A14" s="8">
        <v>35123</v>
      </c>
      <c r="B14" s="10" t="s">
        <v>61</v>
      </c>
      <c r="C14" s="9" t="s">
        <v>62</v>
      </c>
      <c r="D14" s="10" t="s">
        <v>63</v>
      </c>
      <c r="E14" s="9" t="s">
        <v>46</v>
      </c>
      <c r="F14" s="11" t="s">
        <v>13</v>
      </c>
      <c r="G14" s="6">
        <v>5</v>
      </c>
      <c r="H14" s="11">
        <v>4</v>
      </c>
      <c r="I14" s="8" t="s">
        <v>64</v>
      </c>
      <c r="J14" s="6">
        <v>3</v>
      </c>
      <c r="K14" s="7">
        <f t="shared" si="0"/>
        <v>23</v>
      </c>
    </row>
    <row r="15" spans="1:11">
      <c r="A15" s="8">
        <v>38934</v>
      </c>
      <c r="B15" s="10" t="s">
        <v>65</v>
      </c>
      <c r="C15" s="9" t="s">
        <v>66</v>
      </c>
      <c r="D15" s="10" t="s">
        <v>22</v>
      </c>
      <c r="E15" s="9" t="s">
        <v>23</v>
      </c>
      <c r="F15" s="11" t="s">
        <v>13</v>
      </c>
      <c r="G15" s="6">
        <v>8</v>
      </c>
      <c r="H15" s="11">
        <v>200</v>
      </c>
      <c r="I15" s="8" t="s">
        <v>24</v>
      </c>
      <c r="J15" s="6">
        <v>0</v>
      </c>
      <c r="K15" s="7">
        <f t="shared" si="0"/>
        <v>1600</v>
      </c>
    </row>
    <row r="16" spans="1:11">
      <c r="A16" s="8">
        <v>39125</v>
      </c>
      <c r="B16" s="10" t="s">
        <v>67</v>
      </c>
      <c r="C16" s="9" t="s">
        <v>68</v>
      </c>
      <c r="D16" s="10" t="s">
        <v>69</v>
      </c>
      <c r="E16" s="9" t="s">
        <v>147</v>
      </c>
      <c r="F16" s="11" t="s">
        <v>13</v>
      </c>
      <c r="G16" s="6">
        <v>7</v>
      </c>
      <c r="H16" s="11">
        <v>6</v>
      </c>
      <c r="I16" s="8" t="s">
        <v>70</v>
      </c>
      <c r="J16" s="6">
        <v>1</v>
      </c>
      <c r="K16" s="7">
        <f t="shared" si="0"/>
        <v>43</v>
      </c>
    </row>
    <row r="17" spans="1:11">
      <c r="A17" s="8">
        <v>52457</v>
      </c>
      <c r="B17" s="10" t="s">
        <v>71</v>
      </c>
      <c r="C17" s="9" t="s">
        <v>72</v>
      </c>
      <c r="D17" s="10" t="s">
        <v>45</v>
      </c>
      <c r="E17" s="9" t="s">
        <v>46</v>
      </c>
      <c r="F17" s="11" t="s">
        <v>13</v>
      </c>
      <c r="G17" s="6">
        <v>10</v>
      </c>
      <c r="H17" s="11">
        <v>4</v>
      </c>
      <c r="I17" s="8" t="s">
        <v>73</v>
      </c>
      <c r="J17" s="6">
        <v>1</v>
      </c>
      <c r="K17" s="7">
        <f t="shared" si="0"/>
        <v>41</v>
      </c>
    </row>
    <row r="18" spans="1:11">
      <c r="A18" s="8">
        <v>52466</v>
      </c>
      <c r="B18" s="10" t="s">
        <v>74</v>
      </c>
      <c r="C18" s="9" t="s">
        <v>75</v>
      </c>
      <c r="D18" s="10" t="s">
        <v>45</v>
      </c>
      <c r="E18" s="9" t="s">
        <v>46</v>
      </c>
      <c r="F18" s="11" t="s">
        <v>13</v>
      </c>
      <c r="G18" s="6">
        <v>9</v>
      </c>
      <c r="H18" s="11">
        <v>4</v>
      </c>
      <c r="I18" s="8" t="s">
        <v>76</v>
      </c>
      <c r="J18" s="6">
        <v>3</v>
      </c>
      <c r="K18" s="7">
        <f t="shared" si="0"/>
        <v>39</v>
      </c>
    </row>
    <row r="19" spans="1:11">
      <c r="A19" s="8">
        <v>75413</v>
      </c>
      <c r="B19" s="10" t="s">
        <v>77</v>
      </c>
      <c r="C19" s="9" t="s">
        <v>78</v>
      </c>
      <c r="D19" s="10" t="s">
        <v>79</v>
      </c>
      <c r="E19" s="9" t="s">
        <v>80</v>
      </c>
      <c r="F19" s="11" t="s">
        <v>13</v>
      </c>
      <c r="G19" s="6">
        <v>6</v>
      </c>
      <c r="H19" s="11">
        <v>6</v>
      </c>
      <c r="I19" s="8" t="s">
        <v>81</v>
      </c>
      <c r="J19" s="6">
        <v>0</v>
      </c>
      <c r="K19" s="7">
        <f t="shared" si="0"/>
        <v>36</v>
      </c>
    </row>
    <row r="20" spans="1:11">
      <c r="A20" s="8">
        <v>78497</v>
      </c>
      <c r="B20" s="10" t="s">
        <v>82</v>
      </c>
      <c r="C20" s="9" t="s">
        <v>83</v>
      </c>
      <c r="D20" s="10" t="s">
        <v>63</v>
      </c>
      <c r="E20" s="9" t="s">
        <v>46</v>
      </c>
      <c r="F20" s="11" t="s">
        <v>13</v>
      </c>
      <c r="G20" s="6">
        <v>6</v>
      </c>
      <c r="H20" s="11">
        <v>4</v>
      </c>
      <c r="I20" s="8" t="s">
        <v>84</v>
      </c>
      <c r="J20" s="6">
        <v>1</v>
      </c>
      <c r="K20" s="7">
        <f t="shared" si="0"/>
        <v>25</v>
      </c>
    </row>
    <row r="21" spans="1:11">
      <c r="A21" s="8">
        <v>115040</v>
      </c>
      <c r="B21" s="10" t="s">
        <v>85</v>
      </c>
      <c r="C21" s="9" t="s">
        <v>86</v>
      </c>
      <c r="D21" s="10" t="s">
        <v>87</v>
      </c>
      <c r="E21" s="9" t="s">
        <v>80</v>
      </c>
      <c r="F21" s="11" t="s">
        <v>13</v>
      </c>
      <c r="G21" s="6">
        <v>10</v>
      </c>
      <c r="H21" s="11">
        <v>1</v>
      </c>
      <c r="I21" s="8" t="s">
        <v>88</v>
      </c>
      <c r="J21" s="6">
        <v>0</v>
      </c>
      <c r="K21" s="7">
        <f t="shared" si="0"/>
        <v>10</v>
      </c>
    </row>
    <row r="22" spans="1:11">
      <c r="A22" s="8">
        <v>318396</v>
      </c>
      <c r="B22" s="10" t="s">
        <v>89</v>
      </c>
      <c r="C22" s="9" t="s">
        <v>90</v>
      </c>
      <c r="D22" s="10" t="s">
        <v>91</v>
      </c>
      <c r="E22" s="9" t="s">
        <v>92</v>
      </c>
      <c r="F22" s="11" t="s">
        <v>13</v>
      </c>
      <c r="G22" s="6">
        <v>2</v>
      </c>
      <c r="H22" s="11">
        <v>6</v>
      </c>
      <c r="I22" s="8" t="s">
        <v>70</v>
      </c>
      <c r="J22" s="6">
        <v>4</v>
      </c>
      <c r="K22" s="7">
        <f t="shared" si="0"/>
        <v>16</v>
      </c>
    </row>
    <row r="23" spans="1:11">
      <c r="A23" s="8">
        <v>515277</v>
      </c>
      <c r="B23" s="10" t="s">
        <v>93</v>
      </c>
      <c r="C23" s="9" t="s">
        <v>94</v>
      </c>
      <c r="D23" s="10" t="s">
        <v>95</v>
      </c>
      <c r="E23" s="9" t="s">
        <v>96</v>
      </c>
      <c r="F23" s="11" t="s">
        <v>13</v>
      </c>
      <c r="G23" s="6">
        <v>5</v>
      </c>
      <c r="H23" s="11">
        <v>12</v>
      </c>
      <c r="I23" s="8" t="s">
        <v>97</v>
      </c>
      <c r="J23" s="6">
        <v>0</v>
      </c>
      <c r="K23" s="7">
        <f t="shared" si="0"/>
        <v>60</v>
      </c>
    </row>
    <row r="24" spans="1:11">
      <c r="A24" s="8">
        <v>518573</v>
      </c>
      <c r="B24" s="10" t="s">
        <v>98</v>
      </c>
      <c r="C24" s="9" t="s">
        <v>99</v>
      </c>
      <c r="D24" s="10" t="s">
        <v>100</v>
      </c>
      <c r="E24" s="9" t="s">
        <v>23</v>
      </c>
      <c r="F24" s="11" t="s">
        <v>13</v>
      </c>
      <c r="G24" s="6">
        <v>2</v>
      </c>
      <c r="H24" s="11">
        <v>500</v>
      </c>
      <c r="I24" s="8" t="s">
        <v>101</v>
      </c>
      <c r="J24" s="6">
        <v>400</v>
      </c>
      <c r="K24" s="7">
        <f t="shared" si="0"/>
        <v>1400</v>
      </c>
    </row>
    <row r="25" spans="1:11">
      <c r="A25" s="8">
        <v>528691</v>
      </c>
      <c r="B25" s="10" t="s">
        <v>102</v>
      </c>
      <c r="C25" s="9" t="s">
        <v>103</v>
      </c>
      <c r="D25" s="10" t="s">
        <v>104</v>
      </c>
      <c r="E25" s="9" t="s">
        <v>41</v>
      </c>
      <c r="F25" s="11" t="s">
        <v>13</v>
      </c>
      <c r="G25" s="6">
        <v>6</v>
      </c>
      <c r="H25" s="11">
        <v>12</v>
      </c>
      <c r="I25" s="8" t="s">
        <v>105</v>
      </c>
      <c r="J25" s="6">
        <v>7</v>
      </c>
      <c r="K25" s="7">
        <f t="shared" si="0"/>
        <v>79</v>
      </c>
    </row>
    <row r="26" spans="1:11">
      <c r="A26" s="8">
        <v>629869</v>
      </c>
      <c r="B26" s="10" t="s">
        <v>106</v>
      </c>
      <c r="C26" s="9" t="s">
        <v>107</v>
      </c>
      <c r="D26" s="10" t="s">
        <v>95</v>
      </c>
      <c r="E26" s="9" t="s">
        <v>108</v>
      </c>
      <c r="F26" s="11" t="s">
        <v>13</v>
      </c>
      <c r="G26" s="6">
        <v>3</v>
      </c>
      <c r="H26" s="11">
        <v>6</v>
      </c>
      <c r="I26" s="8" t="s">
        <v>70</v>
      </c>
      <c r="J26" s="6">
        <v>0</v>
      </c>
      <c r="K26" s="7">
        <f t="shared" si="0"/>
        <v>18</v>
      </c>
    </row>
    <row r="27" spans="1:11">
      <c r="A27" s="8">
        <v>855050</v>
      </c>
      <c r="B27" s="10" t="s">
        <v>109</v>
      </c>
      <c r="C27" s="9" t="s">
        <v>110</v>
      </c>
      <c r="D27" s="10" t="s">
        <v>111</v>
      </c>
      <c r="E27" s="9" t="s">
        <v>12</v>
      </c>
      <c r="F27" s="11" t="s">
        <v>13</v>
      </c>
      <c r="G27" s="6">
        <v>2</v>
      </c>
      <c r="H27" s="11">
        <v>30</v>
      </c>
      <c r="I27" s="8" t="s">
        <v>112</v>
      </c>
      <c r="J27" s="6">
        <v>21</v>
      </c>
      <c r="K27" s="7">
        <f t="shared" si="0"/>
        <v>81</v>
      </c>
    </row>
    <row r="28" spans="1:11">
      <c r="A28" s="8">
        <v>858656</v>
      </c>
      <c r="B28" s="10" t="s">
        <v>113</v>
      </c>
      <c r="C28" s="9" t="s">
        <v>114</v>
      </c>
      <c r="D28" s="10" t="s">
        <v>115</v>
      </c>
      <c r="E28" s="9" t="s">
        <v>41</v>
      </c>
      <c r="F28" s="11" t="s">
        <v>13</v>
      </c>
      <c r="G28" s="6">
        <v>4</v>
      </c>
      <c r="H28" s="11">
        <v>4</v>
      </c>
      <c r="I28" s="8" t="s">
        <v>116</v>
      </c>
      <c r="J28" s="6">
        <v>0</v>
      </c>
      <c r="K28" s="7">
        <f t="shared" si="0"/>
        <v>16</v>
      </c>
    </row>
    <row r="29" spans="1:11">
      <c r="A29" s="8">
        <v>863474</v>
      </c>
      <c r="B29" s="10" t="s">
        <v>117</v>
      </c>
      <c r="C29" s="9" t="s">
        <v>118</v>
      </c>
      <c r="D29" s="10" t="s">
        <v>119</v>
      </c>
      <c r="E29" s="9" t="s">
        <v>108</v>
      </c>
      <c r="F29" s="11" t="s">
        <v>13</v>
      </c>
      <c r="G29" s="6">
        <v>3</v>
      </c>
      <c r="H29" s="11">
        <v>6</v>
      </c>
      <c r="I29" s="8" t="s">
        <v>70</v>
      </c>
      <c r="J29" s="6">
        <v>2</v>
      </c>
      <c r="K29" s="7">
        <f t="shared" si="0"/>
        <v>20</v>
      </c>
    </row>
    <row r="30" spans="1:11">
      <c r="A30" s="8">
        <v>863498</v>
      </c>
      <c r="B30" s="10" t="s">
        <v>120</v>
      </c>
      <c r="C30" s="9" t="s">
        <v>121</v>
      </c>
      <c r="D30" s="10" t="s">
        <v>119</v>
      </c>
      <c r="E30" s="9" t="s">
        <v>108</v>
      </c>
      <c r="F30" s="11" t="s">
        <v>13</v>
      </c>
      <c r="G30" s="6">
        <v>2</v>
      </c>
      <c r="H30" s="11">
        <v>6</v>
      </c>
      <c r="I30" s="8" t="s">
        <v>70</v>
      </c>
      <c r="J30" s="6">
        <v>5</v>
      </c>
      <c r="K30" s="7">
        <f t="shared" si="0"/>
        <v>17</v>
      </c>
    </row>
    <row r="31" spans="1:11">
      <c r="A31" s="8">
        <v>869748</v>
      </c>
      <c r="B31" s="10" t="s">
        <v>122</v>
      </c>
      <c r="C31" s="9" t="s">
        <v>123</v>
      </c>
      <c r="D31" s="10" t="s">
        <v>124</v>
      </c>
      <c r="E31" s="9" t="s">
        <v>125</v>
      </c>
      <c r="F31" s="11" t="s">
        <v>13</v>
      </c>
      <c r="G31" s="6">
        <v>10</v>
      </c>
      <c r="H31" s="11">
        <v>12</v>
      </c>
      <c r="I31" s="8" t="s">
        <v>126</v>
      </c>
      <c r="J31" s="6">
        <v>4</v>
      </c>
      <c r="K31" s="7">
        <f t="shared" si="0"/>
        <v>124</v>
      </c>
    </row>
    <row r="32" spans="1:11">
      <c r="A32" s="8">
        <v>901172</v>
      </c>
      <c r="B32" s="10" t="s">
        <v>127</v>
      </c>
      <c r="C32" s="9" t="s">
        <v>128</v>
      </c>
      <c r="D32" s="10" t="s">
        <v>129</v>
      </c>
      <c r="E32" s="9" t="s">
        <v>108</v>
      </c>
      <c r="F32" s="11" t="s">
        <v>13</v>
      </c>
      <c r="G32" s="6">
        <v>0</v>
      </c>
      <c r="H32" s="11">
        <v>6</v>
      </c>
      <c r="I32" s="8" t="s">
        <v>70</v>
      </c>
      <c r="J32" s="6">
        <v>3</v>
      </c>
      <c r="K32" s="7">
        <f t="shared" si="0"/>
        <v>3</v>
      </c>
    </row>
    <row r="33" spans="1:11">
      <c r="A33" s="8">
        <v>951817</v>
      </c>
      <c r="B33" s="10" t="s">
        <v>130</v>
      </c>
      <c r="C33" s="9" t="s">
        <v>131</v>
      </c>
      <c r="D33" s="10" t="s">
        <v>132</v>
      </c>
      <c r="E33" s="9" t="s">
        <v>131</v>
      </c>
      <c r="F33" s="11" t="s">
        <v>13</v>
      </c>
      <c r="G33" s="6">
        <v>4</v>
      </c>
      <c r="H33" s="11">
        <v>42</v>
      </c>
      <c r="I33" s="8" t="s">
        <v>133</v>
      </c>
      <c r="J33" s="6">
        <v>29</v>
      </c>
      <c r="K33" s="7">
        <f t="shared" si="0"/>
        <v>197</v>
      </c>
    </row>
    <row r="34" spans="1:11">
      <c r="A34" s="8">
        <v>989362</v>
      </c>
      <c r="B34" s="10" t="s">
        <v>134</v>
      </c>
      <c r="C34" s="9" t="s">
        <v>135</v>
      </c>
      <c r="D34" s="10" t="s">
        <v>136</v>
      </c>
      <c r="E34" s="9" t="s">
        <v>46</v>
      </c>
      <c r="F34" s="11" t="s">
        <v>13</v>
      </c>
      <c r="G34" s="6">
        <v>8</v>
      </c>
      <c r="H34" s="11">
        <v>4</v>
      </c>
      <c r="I34" s="8" t="s">
        <v>137</v>
      </c>
      <c r="J34" s="6">
        <v>1</v>
      </c>
      <c r="K34" s="7">
        <f t="shared" si="0"/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AFDAD-7FB1-E64F-A232-A1C93D69FFA0}">
  <dimension ref="A1:K34"/>
  <sheetViews>
    <sheetView workbookViewId="0">
      <selection activeCell="M12" sqref="M12"/>
    </sheetView>
  </sheetViews>
  <sheetFormatPr baseColWidth="10" defaultRowHeight="16"/>
  <cols>
    <col min="2" max="2" width="43.5" bestFit="1" customWidth="1"/>
    <col min="3" max="3" width="19.33203125" bestFit="1" customWidth="1"/>
    <col min="4" max="4" width="16" bestFit="1" customWidth="1"/>
    <col min="5" max="5" width="9.6640625" bestFit="1" customWidth="1"/>
    <col min="6" max="6" width="8" bestFit="1" customWidth="1"/>
    <col min="7" max="7" width="9.5" bestFit="1" customWidth="1"/>
    <col min="8" max="8" width="13.83203125" bestFit="1" customWidth="1"/>
    <col min="9" max="9" width="8" bestFit="1" customWidth="1"/>
    <col min="10" max="10" width="15" bestFit="1" customWidth="1"/>
    <col min="11" max="11" width="20.33203125" customWidth="1"/>
  </cols>
  <sheetData>
    <row r="1" spans="1:11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139</v>
      </c>
      <c r="I1" s="12" t="s">
        <v>7</v>
      </c>
      <c r="J1" s="12" t="s">
        <v>138</v>
      </c>
      <c r="K1" s="12" t="s">
        <v>8</v>
      </c>
    </row>
    <row r="2" spans="1:11">
      <c r="A2" s="8">
        <v>898</v>
      </c>
      <c r="B2" s="10" t="s">
        <v>9</v>
      </c>
      <c r="C2" s="9" t="s">
        <v>10</v>
      </c>
      <c r="D2" s="10" t="s">
        <v>11</v>
      </c>
      <c r="E2" s="9" t="s">
        <v>12</v>
      </c>
      <c r="F2" s="11" t="s">
        <v>13</v>
      </c>
      <c r="G2" s="6">
        <v>2</v>
      </c>
      <c r="H2" s="11">
        <v>4</v>
      </c>
      <c r="I2" s="8" t="s">
        <v>14</v>
      </c>
      <c r="J2" s="6">
        <v>2</v>
      </c>
      <c r="K2" s="7">
        <f>G2*H2+J2</f>
        <v>10</v>
      </c>
    </row>
    <row r="3" spans="1:11">
      <c r="A3" s="8">
        <v>3113</v>
      </c>
      <c r="B3" s="10" t="s">
        <v>15</v>
      </c>
      <c r="C3" s="9" t="s">
        <v>16</v>
      </c>
      <c r="D3" s="10" t="s">
        <v>17</v>
      </c>
      <c r="E3" s="9" t="s">
        <v>18</v>
      </c>
      <c r="F3" s="11" t="s">
        <v>13</v>
      </c>
      <c r="G3" s="6">
        <v>1</v>
      </c>
      <c r="H3" s="11">
        <v>6</v>
      </c>
      <c r="I3" s="8" t="s">
        <v>19</v>
      </c>
      <c r="J3" s="6">
        <v>4</v>
      </c>
      <c r="K3" s="7">
        <f t="shared" ref="K3:K34" si="0">G3*H3+J3</f>
        <v>10</v>
      </c>
    </row>
    <row r="4" spans="1:11">
      <c r="A4" s="8">
        <v>27182</v>
      </c>
      <c r="B4" s="10" t="s">
        <v>20</v>
      </c>
      <c r="C4" s="9" t="s">
        <v>21</v>
      </c>
      <c r="D4" s="10" t="s">
        <v>22</v>
      </c>
      <c r="E4" s="9" t="s">
        <v>23</v>
      </c>
      <c r="F4" s="11" t="s">
        <v>13</v>
      </c>
      <c r="G4" s="6">
        <v>5</v>
      </c>
      <c r="H4" s="11">
        <v>200</v>
      </c>
      <c r="I4" s="8" t="s">
        <v>24</v>
      </c>
      <c r="J4" s="6">
        <v>100</v>
      </c>
      <c r="K4" s="7">
        <f t="shared" si="0"/>
        <v>1100</v>
      </c>
    </row>
    <row r="5" spans="1:11">
      <c r="A5" s="8">
        <v>28051</v>
      </c>
      <c r="B5" s="10" t="s">
        <v>25</v>
      </c>
      <c r="C5" s="9" t="s">
        <v>26</v>
      </c>
      <c r="D5" s="10" t="s">
        <v>27</v>
      </c>
      <c r="E5" s="9" t="s">
        <v>28</v>
      </c>
      <c r="F5" s="11" t="s">
        <v>13</v>
      </c>
      <c r="G5" s="6">
        <v>4</v>
      </c>
      <c r="H5" s="11">
        <v>2</v>
      </c>
      <c r="I5" s="8" t="s">
        <v>29</v>
      </c>
      <c r="J5" s="6">
        <v>1</v>
      </c>
      <c r="K5" s="7">
        <f t="shared" si="0"/>
        <v>9</v>
      </c>
    </row>
    <row r="6" spans="1:11">
      <c r="A6" s="8">
        <v>28059</v>
      </c>
      <c r="B6" s="10" t="s">
        <v>30</v>
      </c>
      <c r="C6" s="9" t="s">
        <v>31</v>
      </c>
      <c r="D6" s="10" t="s">
        <v>27</v>
      </c>
      <c r="E6" s="9" t="s">
        <v>28</v>
      </c>
      <c r="F6" s="11" t="s">
        <v>13</v>
      </c>
      <c r="G6" s="6">
        <v>7</v>
      </c>
      <c r="H6" s="11">
        <v>2</v>
      </c>
      <c r="I6" s="8" t="s">
        <v>32</v>
      </c>
      <c r="J6" s="6">
        <v>1</v>
      </c>
      <c r="K6" s="7">
        <f t="shared" si="0"/>
        <v>15</v>
      </c>
    </row>
    <row r="7" spans="1:11">
      <c r="A7" s="8">
        <v>28357</v>
      </c>
      <c r="B7" s="10" t="s">
        <v>33</v>
      </c>
      <c r="C7" s="9" t="s">
        <v>34</v>
      </c>
      <c r="D7" s="10" t="s">
        <v>35</v>
      </c>
      <c r="E7" s="9" t="s">
        <v>36</v>
      </c>
      <c r="F7" s="11" t="s">
        <v>13</v>
      </c>
      <c r="G7" s="6">
        <v>1</v>
      </c>
      <c r="H7" s="11">
        <v>12</v>
      </c>
      <c r="I7" s="8" t="s">
        <v>37</v>
      </c>
      <c r="J7" s="6">
        <v>3</v>
      </c>
      <c r="K7" s="7">
        <f t="shared" si="0"/>
        <v>15</v>
      </c>
    </row>
    <row r="8" spans="1:11">
      <c r="A8" s="8">
        <v>28472</v>
      </c>
      <c r="B8" s="10" t="s">
        <v>38</v>
      </c>
      <c r="C8" s="9" t="s">
        <v>39</v>
      </c>
      <c r="D8" s="10" t="s">
        <v>40</v>
      </c>
      <c r="E8" s="9" t="s">
        <v>41</v>
      </c>
      <c r="F8" s="11" t="s">
        <v>13</v>
      </c>
      <c r="G8" s="6">
        <v>3</v>
      </c>
      <c r="H8" s="11">
        <v>1</v>
      </c>
      <c r="I8" s="8" t="s">
        <v>42</v>
      </c>
      <c r="J8" s="6">
        <v>0</v>
      </c>
      <c r="K8" s="7">
        <f t="shared" si="0"/>
        <v>3</v>
      </c>
    </row>
    <row r="9" spans="1:11">
      <c r="A9" s="8">
        <v>28603</v>
      </c>
      <c r="B9" s="10" t="s">
        <v>43</v>
      </c>
      <c r="C9" s="9" t="s">
        <v>44</v>
      </c>
      <c r="D9" s="10" t="s">
        <v>45</v>
      </c>
      <c r="E9" s="9" t="s">
        <v>46</v>
      </c>
      <c r="F9" s="11" t="s">
        <v>13</v>
      </c>
      <c r="G9" s="6">
        <v>4</v>
      </c>
      <c r="H9" s="11">
        <v>4</v>
      </c>
      <c r="I9" s="8" t="s">
        <v>47</v>
      </c>
      <c r="J9" s="6">
        <v>3</v>
      </c>
      <c r="K9" s="7">
        <f t="shared" si="0"/>
        <v>19</v>
      </c>
    </row>
    <row r="10" spans="1:11">
      <c r="A10" s="8">
        <v>28699</v>
      </c>
      <c r="B10" s="10" t="s">
        <v>48</v>
      </c>
      <c r="C10" s="9" t="s">
        <v>49</v>
      </c>
      <c r="D10" s="10" t="s">
        <v>45</v>
      </c>
      <c r="E10" s="9" t="s">
        <v>46</v>
      </c>
      <c r="F10" s="11" t="s">
        <v>13</v>
      </c>
      <c r="G10" s="6">
        <v>5</v>
      </c>
      <c r="H10" s="11">
        <v>4</v>
      </c>
      <c r="I10" s="8" t="s">
        <v>50</v>
      </c>
      <c r="J10" s="6">
        <v>0</v>
      </c>
      <c r="K10" s="7">
        <f t="shared" si="0"/>
        <v>20</v>
      </c>
    </row>
    <row r="11" spans="1:11">
      <c r="A11" s="8">
        <v>30621</v>
      </c>
      <c r="B11" s="10" t="s">
        <v>51</v>
      </c>
      <c r="C11" s="9" t="s">
        <v>52</v>
      </c>
      <c r="D11" s="10" t="s">
        <v>53</v>
      </c>
      <c r="E11" s="9" t="s">
        <v>52</v>
      </c>
      <c r="F11" s="11" t="s">
        <v>13</v>
      </c>
      <c r="G11" s="6">
        <v>7</v>
      </c>
      <c r="H11" s="11">
        <v>6</v>
      </c>
      <c r="I11" s="8" t="s">
        <v>54</v>
      </c>
      <c r="J11" s="6">
        <v>3</v>
      </c>
      <c r="K11" s="7">
        <f t="shared" si="0"/>
        <v>45</v>
      </c>
    </row>
    <row r="12" spans="1:11">
      <c r="A12" s="8">
        <v>31426</v>
      </c>
      <c r="B12" s="10" t="s">
        <v>55</v>
      </c>
      <c r="C12" s="9" t="s">
        <v>56</v>
      </c>
      <c r="D12" s="10" t="s">
        <v>27</v>
      </c>
      <c r="E12" s="9" t="s">
        <v>28</v>
      </c>
      <c r="F12" s="11" t="s">
        <v>13</v>
      </c>
      <c r="G12" s="6">
        <v>3</v>
      </c>
      <c r="H12" s="11">
        <v>2</v>
      </c>
      <c r="I12" s="8" t="s">
        <v>32</v>
      </c>
      <c r="J12" s="6">
        <v>0</v>
      </c>
      <c r="K12" s="7">
        <f t="shared" si="0"/>
        <v>6</v>
      </c>
    </row>
    <row r="13" spans="1:11">
      <c r="A13" s="8">
        <v>34518</v>
      </c>
      <c r="B13" s="10" t="s">
        <v>57</v>
      </c>
      <c r="C13" s="9" t="s">
        <v>58</v>
      </c>
      <c r="D13" s="10" t="s">
        <v>59</v>
      </c>
      <c r="E13" s="9" t="s">
        <v>23</v>
      </c>
      <c r="F13" s="11" t="s">
        <v>13</v>
      </c>
      <c r="G13" s="6">
        <v>1</v>
      </c>
      <c r="H13" s="11">
        <v>2000</v>
      </c>
      <c r="I13" s="8" t="s">
        <v>60</v>
      </c>
      <c r="J13" s="6">
        <v>600</v>
      </c>
      <c r="K13" s="7">
        <f t="shared" si="0"/>
        <v>2600</v>
      </c>
    </row>
    <row r="14" spans="1:11">
      <c r="A14" s="8">
        <v>35123</v>
      </c>
      <c r="B14" s="10" t="s">
        <v>61</v>
      </c>
      <c r="C14" s="9" t="s">
        <v>62</v>
      </c>
      <c r="D14" s="10" t="s">
        <v>63</v>
      </c>
      <c r="E14" s="9" t="s">
        <v>46</v>
      </c>
      <c r="F14" s="11" t="s">
        <v>13</v>
      </c>
      <c r="G14" s="6">
        <v>3</v>
      </c>
      <c r="H14" s="11">
        <v>4</v>
      </c>
      <c r="I14" s="8" t="s">
        <v>64</v>
      </c>
      <c r="J14" s="6">
        <v>3</v>
      </c>
      <c r="K14" s="7">
        <f t="shared" si="0"/>
        <v>15</v>
      </c>
    </row>
    <row r="15" spans="1:11">
      <c r="A15" s="8">
        <v>38934</v>
      </c>
      <c r="B15" s="10" t="s">
        <v>65</v>
      </c>
      <c r="C15" s="9" t="s">
        <v>66</v>
      </c>
      <c r="D15" s="10" t="s">
        <v>22</v>
      </c>
      <c r="E15" s="9" t="s">
        <v>23</v>
      </c>
      <c r="F15" s="11" t="s">
        <v>13</v>
      </c>
      <c r="G15" s="6">
        <v>5</v>
      </c>
      <c r="H15" s="11">
        <v>200</v>
      </c>
      <c r="I15" s="8" t="s">
        <v>24</v>
      </c>
      <c r="J15" s="6">
        <v>0</v>
      </c>
      <c r="K15" s="7">
        <f t="shared" si="0"/>
        <v>1000</v>
      </c>
    </row>
    <row r="16" spans="1:11">
      <c r="A16" s="8">
        <v>39125</v>
      </c>
      <c r="B16" s="10" t="s">
        <v>67</v>
      </c>
      <c r="C16" s="9" t="s">
        <v>68</v>
      </c>
      <c r="D16" s="10" t="s">
        <v>69</v>
      </c>
      <c r="E16" s="9" t="s">
        <v>36</v>
      </c>
      <c r="F16" s="11" t="s">
        <v>13</v>
      </c>
      <c r="G16" s="6">
        <v>4</v>
      </c>
      <c r="H16" s="11">
        <v>6</v>
      </c>
      <c r="I16" s="8" t="s">
        <v>70</v>
      </c>
      <c r="J16" s="6">
        <v>1</v>
      </c>
      <c r="K16" s="7">
        <f t="shared" si="0"/>
        <v>25</v>
      </c>
    </row>
    <row r="17" spans="1:11">
      <c r="A17" s="8">
        <v>52457</v>
      </c>
      <c r="B17" s="10" t="s">
        <v>71</v>
      </c>
      <c r="C17" s="9" t="s">
        <v>72</v>
      </c>
      <c r="D17" s="10" t="s">
        <v>45</v>
      </c>
      <c r="E17" s="9" t="s">
        <v>46</v>
      </c>
      <c r="F17" s="11" t="s">
        <v>13</v>
      </c>
      <c r="G17" s="6">
        <v>6</v>
      </c>
      <c r="H17" s="11">
        <v>4</v>
      </c>
      <c r="I17" s="8" t="s">
        <v>73</v>
      </c>
      <c r="J17" s="6">
        <v>1</v>
      </c>
      <c r="K17" s="7">
        <f t="shared" si="0"/>
        <v>25</v>
      </c>
    </row>
    <row r="18" spans="1:11">
      <c r="A18" s="8">
        <v>52466</v>
      </c>
      <c r="B18" s="10" t="s">
        <v>74</v>
      </c>
      <c r="C18" s="9" t="s">
        <v>75</v>
      </c>
      <c r="D18" s="10" t="s">
        <v>45</v>
      </c>
      <c r="E18" s="9" t="s">
        <v>46</v>
      </c>
      <c r="F18" s="11" t="s">
        <v>13</v>
      </c>
      <c r="G18" s="6">
        <v>5</v>
      </c>
      <c r="H18" s="11">
        <v>4</v>
      </c>
      <c r="I18" s="8" t="s">
        <v>76</v>
      </c>
      <c r="J18" s="6">
        <v>3</v>
      </c>
      <c r="K18" s="7">
        <f t="shared" si="0"/>
        <v>23</v>
      </c>
    </row>
    <row r="19" spans="1:11">
      <c r="A19" s="8">
        <v>75413</v>
      </c>
      <c r="B19" s="10" t="s">
        <v>77</v>
      </c>
      <c r="C19" s="9" t="s">
        <v>78</v>
      </c>
      <c r="D19" s="10" t="s">
        <v>79</v>
      </c>
      <c r="E19" s="9" t="s">
        <v>80</v>
      </c>
      <c r="F19" s="11" t="s">
        <v>13</v>
      </c>
      <c r="G19" s="6">
        <v>4</v>
      </c>
      <c r="H19" s="11">
        <v>6</v>
      </c>
      <c r="I19" s="8" t="s">
        <v>81</v>
      </c>
      <c r="J19" s="6">
        <v>0</v>
      </c>
      <c r="K19" s="7">
        <f t="shared" si="0"/>
        <v>24</v>
      </c>
    </row>
    <row r="20" spans="1:11">
      <c r="A20" s="8">
        <v>78497</v>
      </c>
      <c r="B20" s="10" t="s">
        <v>82</v>
      </c>
      <c r="C20" s="9" t="s">
        <v>83</v>
      </c>
      <c r="D20" s="10" t="s">
        <v>63</v>
      </c>
      <c r="E20" s="9" t="s">
        <v>46</v>
      </c>
      <c r="F20" s="11" t="s">
        <v>13</v>
      </c>
      <c r="G20" s="6">
        <v>4</v>
      </c>
      <c r="H20" s="11">
        <v>4</v>
      </c>
      <c r="I20" s="8" t="s">
        <v>84</v>
      </c>
      <c r="J20" s="6">
        <v>1</v>
      </c>
      <c r="K20" s="7">
        <f t="shared" si="0"/>
        <v>17</v>
      </c>
    </row>
    <row r="21" spans="1:11">
      <c r="A21" s="8">
        <v>115040</v>
      </c>
      <c r="B21" s="10" t="s">
        <v>85</v>
      </c>
      <c r="C21" s="9" t="s">
        <v>86</v>
      </c>
      <c r="D21" s="10" t="s">
        <v>87</v>
      </c>
      <c r="E21" s="9" t="s">
        <v>80</v>
      </c>
      <c r="F21" s="11" t="s">
        <v>13</v>
      </c>
      <c r="G21" s="6">
        <v>6</v>
      </c>
      <c r="H21" s="11">
        <v>1</v>
      </c>
      <c r="I21" s="8" t="s">
        <v>88</v>
      </c>
      <c r="J21" s="6">
        <v>0</v>
      </c>
      <c r="K21" s="7">
        <f t="shared" si="0"/>
        <v>6</v>
      </c>
    </row>
    <row r="22" spans="1:11">
      <c r="A22" s="8">
        <v>318396</v>
      </c>
      <c r="B22" s="10" t="s">
        <v>89</v>
      </c>
      <c r="C22" s="9" t="s">
        <v>90</v>
      </c>
      <c r="D22" s="10" t="s">
        <v>91</v>
      </c>
      <c r="E22" s="9" t="s">
        <v>92</v>
      </c>
      <c r="F22" s="11" t="s">
        <v>13</v>
      </c>
      <c r="G22" s="6">
        <v>1</v>
      </c>
      <c r="H22" s="11">
        <v>6</v>
      </c>
      <c r="I22" s="8" t="s">
        <v>70</v>
      </c>
      <c r="J22" s="6">
        <v>4</v>
      </c>
      <c r="K22" s="7">
        <f t="shared" si="0"/>
        <v>10</v>
      </c>
    </row>
    <row r="23" spans="1:11">
      <c r="A23" s="8">
        <v>515277</v>
      </c>
      <c r="B23" s="10" t="s">
        <v>93</v>
      </c>
      <c r="C23" s="9" t="s">
        <v>94</v>
      </c>
      <c r="D23" s="10" t="s">
        <v>95</v>
      </c>
      <c r="E23" s="9" t="s">
        <v>96</v>
      </c>
      <c r="F23" s="11" t="s">
        <v>13</v>
      </c>
      <c r="G23" s="6">
        <v>3</v>
      </c>
      <c r="H23" s="11">
        <v>12</v>
      </c>
      <c r="I23" s="8" t="s">
        <v>97</v>
      </c>
      <c r="J23" s="6">
        <v>0</v>
      </c>
      <c r="K23" s="7">
        <f t="shared" si="0"/>
        <v>36</v>
      </c>
    </row>
    <row r="24" spans="1:11">
      <c r="A24" s="8">
        <v>518573</v>
      </c>
      <c r="B24" s="10" t="s">
        <v>98</v>
      </c>
      <c r="C24" s="9" t="s">
        <v>99</v>
      </c>
      <c r="D24" s="10" t="s">
        <v>100</v>
      </c>
      <c r="E24" s="9" t="s">
        <v>23</v>
      </c>
      <c r="F24" s="11" t="s">
        <v>13</v>
      </c>
      <c r="G24" s="6">
        <v>1</v>
      </c>
      <c r="H24" s="11">
        <v>500</v>
      </c>
      <c r="I24" s="8" t="s">
        <v>101</v>
      </c>
      <c r="J24" s="6">
        <v>400</v>
      </c>
      <c r="K24" s="7">
        <f t="shared" si="0"/>
        <v>900</v>
      </c>
    </row>
    <row r="25" spans="1:11">
      <c r="A25" s="8">
        <v>528691</v>
      </c>
      <c r="B25" s="10" t="s">
        <v>102</v>
      </c>
      <c r="C25" s="9" t="s">
        <v>103</v>
      </c>
      <c r="D25" s="10" t="s">
        <v>104</v>
      </c>
      <c r="E25" s="9" t="s">
        <v>41</v>
      </c>
      <c r="F25" s="11" t="s">
        <v>13</v>
      </c>
      <c r="G25" s="6">
        <v>3</v>
      </c>
      <c r="H25" s="11">
        <v>12</v>
      </c>
      <c r="I25" s="8" t="s">
        <v>105</v>
      </c>
      <c r="J25" s="6">
        <v>7</v>
      </c>
      <c r="K25" s="7">
        <f t="shared" si="0"/>
        <v>43</v>
      </c>
    </row>
    <row r="26" spans="1:11">
      <c r="A26" s="8">
        <v>629869</v>
      </c>
      <c r="B26" s="10" t="s">
        <v>106</v>
      </c>
      <c r="C26" s="9" t="s">
        <v>107</v>
      </c>
      <c r="D26" s="10" t="s">
        <v>95</v>
      </c>
      <c r="E26" s="9" t="s">
        <v>108</v>
      </c>
      <c r="F26" s="11" t="s">
        <v>13</v>
      </c>
      <c r="G26" s="6">
        <v>2</v>
      </c>
      <c r="H26" s="11">
        <v>6</v>
      </c>
      <c r="I26" s="8" t="s">
        <v>70</v>
      </c>
      <c r="J26" s="6">
        <v>0</v>
      </c>
      <c r="K26" s="7">
        <f t="shared" si="0"/>
        <v>12</v>
      </c>
    </row>
    <row r="27" spans="1:11">
      <c r="A27" s="8">
        <v>855050</v>
      </c>
      <c r="B27" s="10" t="s">
        <v>109</v>
      </c>
      <c r="C27" s="9" t="s">
        <v>110</v>
      </c>
      <c r="D27" s="10" t="s">
        <v>111</v>
      </c>
      <c r="E27" s="9" t="s">
        <v>12</v>
      </c>
      <c r="F27" s="11" t="s">
        <v>13</v>
      </c>
      <c r="G27" s="6">
        <v>1</v>
      </c>
      <c r="H27" s="11">
        <v>30</v>
      </c>
      <c r="I27" s="8" t="s">
        <v>112</v>
      </c>
      <c r="J27" s="6">
        <v>21</v>
      </c>
      <c r="K27" s="7">
        <f t="shared" si="0"/>
        <v>51</v>
      </c>
    </row>
    <row r="28" spans="1:11">
      <c r="A28" s="8">
        <v>858656</v>
      </c>
      <c r="B28" s="10" t="s">
        <v>113</v>
      </c>
      <c r="C28" s="9" t="s">
        <v>114</v>
      </c>
      <c r="D28" s="10" t="s">
        <v>115</v>
      </c>
      <c r="E28" s="9" t="s">
        <v>41</v>
      </c>
      <c r="F28" s="11" t="s">
        <v>13</v>
      </c>
      <c r="G28" s="6">
        <v>3</v>
      </c>
      <c r="H28" s="11">
        <v>4</v>
      </c>
      <c r="I28" s="8" t="s">
        <v>116</v>
      </c>
      <c r="J28" s="6">
        <v>0</v>
      </c>
      <c r="K28" s="7">
        <f t="shared" si="0"/>
        <v>12</v>
      </c>
    </row>
    <row r="29" spans="1:11">
      <c r="A29" s="8">
        <v>863474</v>
      </c>
      <c r="B29" s="10" t="s">
        <v>117</v>
      </c>
      <c r="C29" s="9" t="s">
        <v>118</v>
      </c>
      <c r="D29" s="10" t="s">
        <v>119</v>
      </c>
      <c r="E29" s="9" t="s">
        <v>108</v>
      </c>
      <c r="F29" s="11" t="s">
        <v>13</v>
      </c>
      <c r="G29" s="6">
        <v>2</v>
      </c>
      <c r="H29" s="11">
        <v>6</v>
      </c>
      <c r="I29" s="8" t="s">
        <v>70</v>
      </c>
      <c r="J29" s="6">
        <v>2</v>
      </c>
      <c r="K29" s="7">
        <f t="shared" si="0"/>
        <v>14</v>
      </c>
    </row>
    <row r="30" spans="1:11">
      <c r="A30" s="8">
        <v>863498</v>
      </c>
      <c r="B30" s="10" t="s">
        <v>120</v>
      </c>
      <c r="C30" s="9" t="s">
        <v>121</v>
      </c>
      <c r="D30" s="10" t="s">
        <v>119</v>
      </c>
      <c r="E30" s="9" t="s">
        <v>108</v>
      </c>
      <c r="F30" s="11" t="s">
        <v>13</v>
      </c>
      <c r="G30" s="6">
        <v>1</v>
      </c>
      <c r="H30" s="11">
        <v>6</v>
      </c>
      <c r="I30" s="8" t="s">
        <v>70</v>
      </c>
      <c r="J30" s="6">
        <v>5</v>
      </c>
      <c r="K30" s="7">
        <f t="shared" si="0"/>
        <v>11</v>
      </c>
    </row>
    <row r="31" spans="1:11">
      <c r="A31" s="8">
        <v>869748</v>
      </c>
      <c r="B31" s="10" t="s">
        <v>122</v>
      </c>
      <c r="C31" s="9" t="s">
        <v>123</v>
      </c>
      <c r="D31" s="10" t="s">
        <v>124</v>
      </c>
      <c r="E31" s="9" t="s">
        <v>125</v>
      </c>
      <c r="F31" s="11" t="s">
        <v>13</v>
      </c>
      <c r="G31" s="6">
        <v>6</v>
      </c>
      <c r="H31" s="11">
        <v>12</v>
      </c>
      <c r="I31" s="8" t="s">
        <v>126</v>
      </c>
      <c r="J31" s="6">
        <v>4</v>
      </c>
      <c r="K31" s="7">
        <f t="shared" si="0"/>
        <v>76</v>
      </c>
    </row>
    <row r="32" spans="1:11">
      <c r="A32" s="8">
        <v>901172</v>
      </c>
      <c r="B32" s="10" t="s">
        <v>127</v>
      </c>
      <c r="C32" s="9" t="s">
        <v>128</v>
      </c>
      <c r="D32" s="10" t="s">
        <v>129</v>
      </c>
      <c r="E32" s="9" t="s">
        <v>108</v>
      </c>
      <c r="F32" s="11" t="s">
        <v>13</v>
      </c>
      <c r="G32" s="6">
        <v>0</v>
      </c>
      <c r="H32" s="11">
        <v>6</v>
      </c>
      <c r="I32" s="8" t="s">
        <v>70</v>
      </c>
      <c r="J32" s="6">
        <v>3</v>
      </c>
      <c r="K32" s="7">
        <f t="shared" si="0"/>
        <v>3</v>
      </c>
    </row>
    <row r="33" spans="1:11">
      <c r="A33" s="8">
        <v>951817</v>
      </c>
      <c r="B33" s="10" t="s">
        <v>130</v>
      </c>
      <c r="C33" s="9" t="s">
        <v>131</v>
      </c>
      <c r="D33" s="10" t="s">
        <v>132</v>
      </c>
      <c r="E33" s="9" t="s">
        <v>23</v>
      </c>
      <c r="F33" s="11" t="s">
        <v>13</v>
      </c>
      <c r="G33" s="6">
        <v>2</v>
      </c>
      <c r="H33" s="11">
        <v>42</v>
      </c>
      <c r="I33" s="8" t="s">
        <v>133</v>
      </c>
      <c r="J33" s="6">
        <v>29</v>
      </c>
      <c r="K33" s="7">
        <f t="shared" si="0"/>
        <v>113</v>
      </c>
    </row>
    <row r="34" spans="1:11">
      <c r="A34" s="8">
        <v>989362</v>
      </c>
      <c r="B34" s="10" t="s">
        <v>134</v>
      </c>
      <c r="C34" s="9" t="s">
        <v>135</v>
      </c>
      <c r="D34" s="10" t="s">
        <v>136</v>
      </c>
      <c r="E34" s="9" t="s">
        <v>46</v>
      </c>
      <c r="F34" s="11" t="s">
        <v>13</v>
      </c>
      <c r="G34" s="6">
        <v>5</v>
      </c>
      <c r="H34" s="11">
        <v>4</v>
      </c>
      <c r="I34" s="8" t="s">
        <v>137</v>
      </c>
      <c r="J34" s="6">
        <v>1</v>
      </c>
      <c r="K34" s="7">
        <f t="shared" si="0"/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BACD8-166D-1C4B-BFCB-57C5E3B81C0B}">
  <dimension ref="A1:A6"/>
  <sheetViews>
    <sheetView workbookViewId="0">
      <selection activeCell="E11" sqref="E11"/>
    </sheetView>
  </sheetViews>
  <sheetFormatPr baseColWidth="10" defaultRowHeight="16"/>
  <sheetData>
    <row r="1" spans="1:1">
      <c r="A1" s="1"/>
    </row>
    <row r="2" spans="1:1">
      <c r="A2" s="1"/>
    </row>
    <row r="3" spans="1:1">
      <c r="A3" s="2"/>
    </row>
    <row r="4" spans="1:1">
      <c r="A4" s="3"/>
    </row>
    <row r="5" spans="1:1">
      <c r="A5" s="4"/>
    </row>
    <row r="6" spans="1:1">
      <c r="A6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68067-7A5E-7D48-8C55-75152249C2D7}">
  <dimension ref="A1:I34"/>
  <sheetViews>
    <sheetView workbookViewId="0">
      <selection activeCell="L15" sqref="L15"/>
    </sheetView>
  </sheetViews>
  <sheetFormatPr baseColWidth="10" defaultRowHeight="16"/>
  <sheetData>
    <row r="1" spans="1:9">
      <c r="A1" s="13" t="s">
        <v>140</v>
      </c>
      <c r="B1" s="13" t="s">
        <v>141</v>
      </c>
      <c r="C1" s="13" t="s">
        <v>142</v>
      </c>
      <c r="D1" s="13" t="s">
        <v>143</v>
      </c>
      <c r="E1" s="13" t="s">
        <v>7</v>
      </c>
      <c r="F1" s="13" t="s">
        <v>144</v>
      </c>
      <c r="G1" s="13" t="s">
        <v>1</v>
      </c>
      <c r="H1" s="14" t="s">
        <v>145</v>
      </c>
      <c r="I1" s="14" t="s">
        <v>146</v>
      </c>
    </row>
    <row r="2" spans="1:9">
      <c r="A2" s="15">
        <v>901172</v>
      </c>
      <c r="B2" s="15">
        <v>1</v>
      </c>
      <c r="C2" s="15">
        <v>0</v>
      </c>
      <c r="D2" s="15">
        <v>6</v>
      </c>
      <c r="E2" s="15" t="s">
        <v>70</v>
      </c>
      <c r="F2" s="15"/>
      <c r="G2" s="15" t="s">
        <v>127</v>
      </c>
      <c r="H2" s="15">
        <v>41</v>
      </c>
      <c r="I2" s="15">
        <v>0</v>
      </c>
    </row>
    <row r="3" spans="1:9">
      <c r="A3" s="15">
        <v>863474</v>
      </c>
      <c r="B3" s="15">
        <v>1</v>
      </c>
      <c r="C3" s="15">
        <v>1</v>
      </c>
      <c r="D3" s="15">
        <v>6</v>
      </c>
      <c r="E3" s="15" t="s">
        <v>70</v>
      </c>
      <c r="F3" s="15"/>
      <c r="G3" s="15" t="s">
        <v>117</v>
      </c>
      <c r="H3" s="15">
        <v>32</v>
      </c>
      <c r="I3" s="15">
        <v>32</v>
      </c>
    </row>
    <row r="4" spans="1:9">
      <c r="A4" s="15">
        <v>863498</v>
      </c>
      <c r="B4" s="15">
        <v>1</v>
      </c>
      <c r="C4" s="15">
        <v>1</v>
      </c>
      <c r="D4" s="15">
        <v>6</v>
      </c>
      <c r="E4" s="15" t="s">
        <v>70</v>
      </c>
      <c r="F4" s="15"/>
      <c r="G4" s="15" t="s">
        <v>120</v>
      </c>
      <c r="H4" s="15">
        <v>41</v>
      </c>
      <c r="I4" s="15">
        <v>41</v>
      </c>
    </row>
    <row r="5" spans="1:9">
      <c r="A5" s="15">
        <v>39125</v>
      </c>
      <c r="B5" s="15">
        <v>3</v>
      </c>
      <c r="C5" s="15">
        <v>3</v>
      </c>
      <c r="D5" s="15">
        <v>6</v>
      </c>
      <c r="E5" s="15" t="s">
        <v>70</v>
      </c>
      <c r="F5" s="15"/>
      <c r="G5" s="15" t="s">
        <v>67</v>
      </c>
      <c r="H5" s="15">
        <v>54</v>
      </c>
      <c r="I5" s="15">
        <v>162</v>
      </c>
    </row>
    <row r="6" spans="1:9">
      <c r="A6" s="15">
        <v>629869</v>
      </c>
      <c r="B6" s="15">
        <v>1</v>
      </c>
      <c r="C6" s="15">
        <v>1</v>
      </c>
      <c r="D6" s="15">
        <v>6</v>
      </c>
      <c r="E6" s="15" t="s">
        <v>70</v>
      </c>
      <c r="F6" s="15"/>
      <c r="G6" s="15" t="s">
        <v>106</v>
      </c>
      <c r="H6" s="15">
        <v>33</v>
      </c>
      <c r="I6" s="15">
        <v>33</v>
      </c>
    </row>
    <row r="7" spans="1:9">
      <c r="A7" s="15">
        <v>28051</v>
      </c>
      <c r="B7" s="15">
        <v>2</v>
      </c>
      <c r="C7" s="15">
        <v>2</v>
      </c>
      <c r="D7" s="15">
        <v>2</v>
      </c>
      <c r="E7" s="15" t="s">
        <v>29</v>
      </c>
      <c r="F7" s="15"/>
      <c r="G7" s="15" t="s">
        <v>25</v>
      </c>
      <c r="H7" s="15">
        <v>25</v>
      </c>
      <c r="I7" s="15">
        <v>50</v>
      </c>
    </row>
    <row r="8" spans="1:9">
      <c r="A8" s="15">
        <v>898</v>
      </c>
      <c r="B8" s="15">
        <v>1</v>
      </c>
      <c r="C8" s="15">
        <v>1</v>
      </c>
      <c r="D8" s="15">
        <v>4</v>
      </c>
      <c r="E8" s="15" t="s">
        <v>14</v>
      </c>
      <c r="F8" s="15"/>
      <c r="G8" s="15" t="s">
        <v>9</v>
      </c>
      <c r="H8" s="15">
        <v>61</v>
      </c>
      <c r="I8" s="15">
        <v>61</v>
      </c>
    </row>
    <row r="9" spans="1:9">
      <c r="A9" s="15">
        <v>318396</v>
      </c>
      <c r="B9" s="15">
        <v>1</v>
      </c>
      <c r="C9" s="15">
        <v>1</v>
      </c>
      <c r="D9" s="15">
        <v>6</v>
      </c>
      <c r="E9" s="15" t="s">
        <v>70</v>
      </c>
      <c r="F9" s="15"/>
      <c r="G9" s="15" t="s">
        <v>89</v>
      </c>
      <c r="H9" s="15">
        <v>49</v>
      </c>
      <c r="I9" s="15">
        <v>49</v>
      </c>
    </row>
    <row r="10" spans="1:9">
      <c r="A10" s="15">
        <v>855050</v>
      </c>
      <c r="B10" s="15">
        <v>1</v>
      </c>
      <c r="C10" s="15">
        <v>1</v>
      </c>
      <c r="D10" s="15">
        <v>30</v>
      </c>
      <c r="E10" s="15" t="s">
        <v>112</v>
      </c>
      <c r="F10" s="15"/>
      <c r="G10" s="15" t="s">
        <v>109</v>
      </c>
      <c r="H10" s="15">
        <v>82</v>
      </c>
      <c r="I10" s="15">
        <v>82</v>
      </c>
    </row>
    <row r="11" spans="1:9">
      <c r="A11" s="15">
        <v>28059</v>
      </c>
      <c r="B11" s="15">
        <v>4</v>
      </c>
      <c r="C11" s="15">
        <v>4</v>
      </c>
      <c r="D11" s="15">
        <v>2</v>
      </c>
      <c r="E11" s="15" t="s">
        <v>32</v>
      </c>
      <c r="F11" s="15"/>
      <c r="G11" s="15" t="s">
        <v>30</v>
      </c>
      <c r="H11" s="15">
        <v>25</v>
      </c>
      <c r="I11" s="15">
        <v>100</v>
      </c>
    </row>
    <row r="12" spans="1:9">
      <c r="A12" s="15">
        <v>31426</v>
      </c>
      <c r="B12" s="15">
        <v>1</v>
      </c>
      <c r="C12" s="15">
        <v>1</v>
      </c>
      <c r="D12" s="15">
        <v>2</v>
      </c>
      <c r="E12" s="15" t="s">
        <v>32</v>
      </c>
      <c r="F12" s="15"/>
      <c r="G12" s="15" t="s">
        <v>55</v>
      </c>
      <c r="H12" s="15">
        <v>25</v>
      </c>
      <c r="I12" s="15">
        <v>25</v>
      </c>
    </row>
    <row r="13" spans="1:9">
      <c r="A13" s="15">
        <v>28357</v>
      </c>
      <c r="B13" s="15">
        <v>1</v>
      </c>
      <c r="C13" s="15">
        <v>1</v>
      </c>
      <c r="D13" s="15">
        <v>12</v>
      </c>
      <c r="E13" s="15" t="s">
        <v>37</v>
      </c>
      <c r="F13" s="15"/>
      <c r="G13" s="15" t="s">
        <v>33</v>
      </c>
      <c r="H13" s="15">
        <v>34</v>
      </c>
      <c r="I13" s="15">
        <v>34</v>
      </c>
    </row>
    <row r="14" spans="1:9">
      <c r="A14" s="15">
        <v>869748</v>
      </c>
      <c r="B14" s="15">
        <v>4</v>
      </c>
      <c r="C14" s="15">
        <v>4</v>
      </c>
      <c r="D14" s="15">
        <v>12</v>
      </c>
      <c r="E14" s="15" t="s">
        <v>126</v>
      </c>
      <c r="F14" s="15"/>
      <c r="G14" s="15" t="s">
        <v>122</v>
      </c>
      <c r="H14" s="15">
        <v>43</v>
      </c>
      <c r="I14" s="15">
        <v>174</v>
      </c>
    </row>
    <row r="15" spans="1:9">
      <c r="A15" s="15">
        <v>28472</v>
      </c>
      <c r="B15" s="15">
        <v>1</v>
      </c>
      <c r="C15" s="15">
        <v>1</v>
      </c>
      <c r="D15" s="15">
        <v>1</v>
      </c>
      <c r="E15" s="15" t="s">
        <v>42</v>
      </c>
      <c r="F15" s="15"/>
      <c r="G15" s="15" t="s">
        <v>38</v>
      </c>
      <c r="H15" s="15">
        <v>102</v>
      </c>
      <c r="I15" s="15">
        <v>102</v>
      </c>
    </row>
    <row r="16" spans="1:9">
      <c r="A16" s="15">
        <v>34518</v>
      </c>
      <c r="B16" s="15">
        <v>1</v>
      </c>
      <c r="C16" s="15">
        <v>1</v>
      </c>
      <c r="D16" s="15">
        <v>2000</v>
      </c>
      <c r="E16" s="15" t="s">
        <v>60</v>
      </c>
      <c r="F16" s="15"/>
      <c r="G16" s="15" t="s">
        <v>57</v>
      </c>
      <c r="H16" s="15">
        <v>24</v>
      </c>
      <c r="I16" s="15">
        <v>24</v>
      </c>
    </row>
    <row r="17" spans="1:9">
      <c r="A17" s="15">
        <v>989362</v>
      </c>
      <c r="B17" s="15">
        <v>3</v>
      </c>
      <c r="C17" s="15">
        <v>3</v>
      </c>
      <c r="D17" s="15">
        <v>4</v>
      </c>
      <c r="E17" s="15" t="s">
        <v>137</v>
      </c>
      <c r="F17" s="15"/>
      <c r="G17" s="15" t="s">
        <v>134</v>
      </c>
      <c r="H17" s="15">
        <v>72</v>
      </c>
      <c r="I17" s="15">
        <v>216</v>
      </c>
    </row>
    <row r="18" spans="1:9">
      <c r="A18" s="15">
        <v>858656</v>
      </c>
      <c r="B18" s="15">
        <v>1</v>
      </c>
      <c r="C18" s="15">
        <v>1</v>
      </c>
      <c r="D18" s="15">
        <v>4</v>
      </c>
      <c r="E18" s="15" t="s">
        <v>116</v>
      </c>
      <c r="F18" s="15"/>
      <c r="G18" s="15" t="s">
        <v>113</v>
      </c>
      <c r="H18" s="15">
        <v>46</v>
      </c>
      <c r="I18" s="15">
        <v>46</v>
      </c>
    </row>
    <row r="19" spans="1:9">
      <c r="A19" s="15">
        <v>528691</v>
      </c>
      <c r="B19" s="15">
        <v>3</v>
      </c>
      <c r="C19" s="15">
        <v>3</v>
      </c>
      <c r="D19" s="15">
        <v>12</v>
      </c>
      <c r="E19" s="15" t="s">
        <v>105</v>
      </c>
      <c r="F19" s="15"/>
      <c r="G19" s="15" t="s">
        <v>102</v>
      </c>
      <c r="H19" s="15">
        <v>40</v>
      </c>
      <c r="I19" s="15">
        <v>120</v>
      </c>
    </row>
    <row r="20" spans="1:9">
      <c r="A20" s="15">
        <v>30621</v>
      </c>
      <c r="B20" s="15">
        <v>4</v>
      </c>
      <c r="C20" s="15">
        <v>4</v>
      </c>
      <c r="D20" s="15">
        <v>6</v>
      </c>
      <c r="E20" s="15" t="s">
        <v>54</v>
      </c>
      <c r="F20" s="15"/>
      <c r="G20" s="15" t="s">
        <v>51</v>
      </c>
      <c r="H20" s="15">
        <v>68</v>
      </c>
      <c r="I20" s="15">
        <v>273</v>
      </c>
    </row>
    <row r="21" spans="1:9">
      <c r="A21" s="15">
        <v>27182</v>
      </c>
      <c r="B21" s="15">
        <v>5</v>
      </c>
      <c r="C21" s="15">
        <v>5</v>
      </c>
      <c r="D21" s="15">
        <v>200</v>
      </c>
      <c r="E21" s="15" t="s">
        <v>24</v>
      </c>
      <c r="F21" s="15"/>
      <c r="G21" s="15" t="s">
        <v>20</v>
      </c>
      <c r="H21" s="15">
        <v>21</v>
      </c>
      <c r="I21" s="15">
        <v>106</v>
      </c>
    </row>
    <row r="22" spans="1:9">
      <c r="A22" s="15">
        <v>52457</v>
      </c>
      <c r="B22" s="15">
        <v>4</v>
      </c>
      <c r="C22" s="15">
        <v>4</v>
      </c>
      <c r="D22" s="15">
        <v>4</v>
      </c>
      <c r="E22" s="15" t="s">
        <v>73</v>
      </c>
      <c r="F22" s="15"/>
      <c r="G22" s="15" t="s">
        <v>71</v>
      </c>
      <c r="H22" s="15">
        <v>67</v>
      </c>
      <c r="I22" s="15">
        <v>269</v>
      </c>
    </row>
    <row r="23" spans="1:9">
      <c r="A23" s="15">
        <v>35123</v>
      </c>
      <c r="B23" s="15">
        <v>2</v>
      </c>
      <c r="C23" s="15">
        <v>2</v>
      </c>
      <c r="D23" s="15">
        <v>4</v>
      </c>
      <c r="E23" s="15" t="s">
        <v>64</v>
      </c>
      <c r="F23" s="15"/>
      <c r="G23" s="15" t="s">
        <v>61</v>
      </c>
      <c r="H23" s="15">
        <v>60</v>
      </c>
      <c r="I23" s="15">
        <v>121</v>
      </c>
    </row>
    <row r="24" spans="1:9">
      <c r="A24" s="15">
        <v>951817</v>
      </c>
      <c r="B24" s="15">
        <v>2</v>
      </c>
      <c r="C24" s="15">
        <v>2</v>
      </c>
      <c r="D24" s="15">
        <v>42</v>
      </c>
      <c r="E24" s="15" t="s">
        <v>133</v>
      </c>
      <c r="F24" s="15"/>
      <c r="G24" s="15" t="s">
        <v>130</v>
      </c>
      <c r="H24" s="15">
        <v>53</v>
      </c>
      <c r="I24" s="15">
        <v>106</v>
      </c>
    </row>
    <row r="25" spans="1:9">
      <c r="A25" s="15">
        <v>38934</v>
      </c>
      <c r="B25" s="15">
        <v>3</v>
      </c>
      <c r="C25" s="15">
        <v>3</v>
      </c>
      <c r="D25" s="15">
        <v>200</v>
      </c>
      <c r="E25" s="15" t="s">
        <v>24</v>
      </c>
      <c r="F25" s="15"/>
      <c r="G25" s="15" t="s">
        <v>65</v>
      </c>
      <c r="H25" s="15">
        <v>16</v>
      </c>
      <c r="I25" s="15">
        <v>48</v>
      </c>
    </row>
    <row r="26" spans="1:9">
      <c r="A26" s="15">
        <v>28603</v>
      </c>
      <c r="B26" s="15">
        <v>3</v>
      </c>
      <c r="C26" s="15">
        <v>3</v>
      </c>
      <c r="D26" s="15">
        <v>4</v>
      </c>
      <c r="E26" s="15" t="s">
        <v>47</v>
      </c>
      <c r="F26" s="15"/>
      <c r="G26" s="15" t="s">
        <v>43</v>
      </c>
      <c r="H26" s="15">
        <v>59</v>
      </c>
      <c r="I26" s="15">
        <v>177</v>
      </c>
    </row>
    <row r="27" spans="1:9">
      <c r="A27" s="15">
        <v>78497</v>
      </c>
      <c r="B27" s="15">
        <v>2</v>
      </c>
      <c r="C27" s="15">
        <v>2</v>
      </c>
      <c r="D27" s="15">
        <v>4</v>
      </c>
      <c r="E27" s="15" t="s">
        <v>84</v>
      </c>
      <c r="F27" s="15"/>
      <c r="G27" s="15" t="s">
        <v>82</v>
      </c>
      <c r="H27" s="15">
        <v>37</v>
      </c>
      <c r="I27" s="15">
        <v>75</v>
      </c>
    </row>
    <row r="28" spans="1:9">
      <c r="A28" s="15">
        <v>515277</v>
      </c>
      <c r="B28" s="15">
        <v>2</v>
      </c>
      <c r="C28" s="15">
        <v>2</v>
      </c>
      <c r="D28" s="15">
        <v>12</v>
      </c>
      <c r="E28" s="15" t="s">
        <v>97</v>
      </c>
      <c r="F28" s="15"/>
      <c r="G28" s="15" t="s">
        <v>93</v>
      </c>
      <c r="H28" s="15">
        <v>25</v>
      </c>
      <c r="I28" s="15">
        <v>50</v>
      </c>
    </row>
    <row r="29" spans="1:9">
      <c r="A29" s="15">
        <v>518573</v>
      </c>
      <c r="B29" s="15">
        <v>1</v>
      </c>
      <c r="C29" s="15">
        <v>1</v>
      </c>
      <c r="D29" s="15">
        <v>500</v>
      </c>
      <c r="E29" s="15" t="s">
        <v>101</v>
      </c>
      <c r="F29" s="15"/>
      <c r="G29" s="15" t="s">
        <v>98</v>
      </c>
      <c r="H29" s="15">
        <v>34</v>
      </c>
      <c r="I29" s="15">
        <v>34</v>
      </c>
    </row>
    <row r="30" spans="1:9">
      <c r="A30" s="15">
        <v>3113</v>
      </c>
      <c r="B30" s="15">
        <v>1</v>
      </c>
      <c r="C30" s="15">
        <v>1</v>
      </c>
      <c r="D30" s="15">
        <v>6</v>
      </c>
      <c r="E30" s="15" t="s">
        <v>19</v>
      </c>
      <c r="F30" s="15"/>
      <c r="G30" s="15" t="s">
        <v>15</v>
      </c>
      <c r="H30" s="15">
        <v>31</v>
      </c>
      <c r="I30" s="15">
        <v>31</v>
      </c>
    </row>
    <row r="31" spans="1:9">
      <c r="A31" s="15">
        <v>75413</v>
      </c>
      <c r="B31" s="15">
        <v>2</v>
      </c>
      <c r="C31" s="15">
        <v>2</v>
      </c>
      <c r="D31" s="15">
        <v>6</v>
      </c>
      <c r="E31" s="15" t="s">
        <v>81</v>
      </c>
      <c r="F31" s="15"/>
      <c r="G31" s="15" t="s">
        <v>77</v>
      </c>
      <c r="H31" s="15">
        <v>29</v>
      </c>
      <c r="I31" s="15">
        <v>58</v>
      </c>
    </row>
    <row r="32" spans="1:9">
      <c r="A32" s="15">
        <v>52466</v>
      </c>
      <c r="B32" s="15">
        <v>4</v>
      </c>
      <c r="C32" s="15">
        <v>4</v>
      </c>
      <c r="D32" s="15">
        <v>4</v>
      </c>
      <c r="E32" s="15" t="s">
        <v>76</v>
      </c>
      <c r="F32" s="15"/>
      <c r="G32" s="15" t="s">
        <v>74</v>
      </c>
      <c r="H32" s="15">
        <v>62</v>
      </c>
      <c r="I32" s="15">
        <v>248</v>
      </c>
    </row>
    <row r="33" spans="1:9">
      <c r="A33" s="15">
        <v>28699</v>
      </c>
      <c r="B33" s="15">
        <v>2</v>
      </c>
      <c r="C33" s="15">
        <v>2</v>
      </c>
      <c r="D33" s="15">
        <v>4</v>
      </c>
      <c r="E33" s="15" t="s">
        <v>50</v>
      </c>
      <c r="F33" s="15"/>
      <c r="G33" s="15" t="s">
        <v>48</v>
      </c>
      <c r="H33" s="15">
        <v>53</v>
      </c>
      <c r="I33" s="15">
        <v>106</v>
      </c>
    </row>
    <row r="34" spans="1:9">
      <c r="A34" s="15">
        <v>115040</v>
      </c>
      <c r="B34" s="15">
        <v>4</v>
      </c>
      <c r="C34" s="15">
        <v>4</v>
      </c>
      <c r="D34" s="15">
        <v>1</v>
      </c>
      <c r="E34" s="15" t="s">
        <v>88</v>
      </c>
      <c r="F34" s="15"/>
      <c r="G34" s="15" t="s">
        <v>85</v>
      </c>
      <c r="H34" s="15">
        <v>25</v>
      </c>
      <c r="I34" s="15">
        <v>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Inventory_Updated</vt:lpstr>
      <vt:lpstr>inventory_1</vt:lpstr>
      <vt:lpstr>Sheet3</vt:lpstr>
      <vt:lpstr>invoice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Enzo Villafuerte</dc:creator>
  <cp:lastModifiedBy>Enzo Villafuerte</cp:lastModifiedBy>
  <dcterms:created xsi:type="dcterms:W3CDTF">2023-02-17T17:28:56Z</dcterms:created>
  <dcterms:modified xsi:type="dcterms:W3CDTF">2023-02-18T19:30:35Z</dcterms:modified>
</cp:coreProperties>
</file>